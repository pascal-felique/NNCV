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TO BACKUP\Personal\Education\TU Eindhoven\Courses\Neural Networks\04. Project\10. Report\Remediation\New measurements\"/>
    </mc:Choice>
  </mc:AlternateContent>
  <xr:revisionPtr revIDLastSave="0" documentId="13_ncr:1_{22E029B8-002D-4FB6-A877-45AB1844624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2" i="1" l="1"/>
  <c r="N33" i="1"/>
  <c r="N34" i="1"/>
  <c r="N35" i="1"/>
  <c r="N31" i="1"/>
  <c r="N18" i="1"/>
  <c r="N19" i="1"/>
  <c r="N20" i="1"/>
  <c r="N21" i="1"/>
  <c r="N17" i="1"/>
  <c r="N60" i="1"/>
  <c r="N61" i="1"/>
  <c r="N62" i="1"/>
  <c r="N63" i="1"/>
  <c r="N59" i="1"/>
  <c r="N11" i="1"/>
  <c r="N12" i="1"/>
  <c r="N13" i="1"/>
  <c r="N14" i="1"/>
  <c r="N10" i="1"/>
</calcChain>
</file>

<file path=xl/sharedStrings.xml><?xml version="1.0" encoding="utf-8"?>
<sst xmlns="http://schemas.openxmlformats.org/spreadsheetml/2006/main" count="356" uniqueCount="23">
  <si>
    <t>Image resolution 1</t>
  </si>
  <si>
    <t>Image resolution 2</t>
  </si>
  <si>
    <t>Image resolution 3</t>
  </si>
  <si>
    <t>Image resolution 4</t>
  </si>
  <si>
    <t>Image resolution 5</t>
  </si>
  <si>
    <t>Knowledge Distillation</t>
  </si>
  <si>
    <t>Additional Dice Loss</t>
  </si>
  <si>
    <t>Weight Regularization</t>
  </si>
  <si>
    <t>No</t>
  </si>
  <si>
    <t>Yes</t>
  </si>
  <si>
    <t>Experiment</t>
  </si>
  <si>
    <t>Curriculum Learning Run</t>
  </si>
  <si>
    <t>Image Resolution</t>
  </si>
  <si>
    <t>Comments</t>
  </si>
  <si>
    <t>Efficiency</t>
  </si>
  <si>
    <t>Performance</t>
  </si>
  <si>
    <t>Mean Dice Score</t>
  </si>
  <si>
    <t>FLOPs per Image</t>
  </si>
  <si>
    <t>Network</t>
  </si>
  <si>
    <t>Fast-SCNN</t>
  </si>
  <si>
    <t>U-Net</t>
  </si>
  <si>
    <t>Not run</t>
  </si>
  <si>
    <t>Efficiency 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</si>
</sst>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E+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1" fontId="0" fillId="6" borderId="0" xfId="0" applyNumberForma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11" fontId="0" fillId="8" borderId="0" xfId="0" applyNumberFormat="1" applyFill="1"/>
    <xf numFmtId="0" fontId="3" fillId="8" borderId="0" xfId="0" applyFont="1" applyFill="1"/>
    <xf numFmtId="0" fontId="0" fillId="9" borderId="0" xfId="0" applyFill="1"/>
    <xf numFmtId="0" fontId="0" fillId="10" borderId="0" xfId="0" applyFill="1"/>
    <xf numFmtId="164" fontId="0" fillId="5" borderId="0" xfId="0" applyNumberFormat="1" applyFill="1"/>
    <xf numFmtId="164" fontId="0" fillId="6" borderId="0" xfId="0" applyNumberFormat="1" applyFill="1"/>
    <xf numFmtId="165" fontId="0" fillId="5" borderId="0" xfId="0" applyNumberFormat="1" applyFill="1"/>
    <xf numFmtId="165" fontId="0" fillId="6" borderId="0" xfId="0" applyNumberFormat="1" applyFill="1"/>
    <xf numFmtId="0" fontId="0" fillId="11" borderId="0" xfId="0" applyFill="1"/>
    <xf numFmtId="165" fontId="0" fillId="11" borderId="0" xfId="0" applyNumberFormat="1" applyFill="1"/>
    <xf numFmtId="164" fontId="0" fillId="11" borderId="0" xfId="0" applyNumberFormat="1" applyFill="1"/>
    <xf numFmtId="164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63"/>
  <sheetViews>
    <sheetView tabSelected="1" workbookViewId="0">
      <selection activeCell="Q66" sqref="Q66"/>
    </sheetView>
  </sheetViews>
  <sheetFormatPr defaultRowHeight="14.4" x14ac:dyDescent="0.3"/>
  <cols>
    <col min="1" max="1" width="1.77734375" customWidth="1"/>
    <col min="2" max="2" width="9.77734375" customWidth="1"/>
    <col min="3" max="3" width="1.77734375" customWidth="1"/>
    <col min="4" max="4" width="13.109375" customWidth="1"/>
    <col min="5" max="5" width="23.77734375" customWidth="1"/>
    <col min="6" max="6" width="1.77734375" style="10" customWidth="1"/>
    <col min="7" max="7" width="22.21875" customWidth="1"/>
    <col min="8" max="8" width="20.33203125" customWidth="1"/>
    <col min="9" max="9" width="21.5546875" customWidth="1"/>
    <col min="10" max="10" width="1.77734375" style="10" customWidth="1"/>
    <col min="11" max="11" width="17.44140625" customWidth="1"/>
    <col min="12" max="12" width="17" customWidth="1"/>
    <col min="13" max="13" width="16.6640625" customWidth="1"/>
    <col min="14" max="14" width="12.77734375" customWidth="1"/>
    <col min="15" max="15" width="11.77734375" customWidth="1"/>
    <col min="16" max="16" width="1.77734375" style="10" customWidth="1"/>
    <col min="17" max="17" width="18.33203125" customWidth="1"/>
    <col min="18" max="18" width="1.77734375" customWidth="1"/>
  </cols>
  <sheetData>
    <row r="2" spans="2:17" x14ac:dyDescent="0.3">
      <c r="B2" s="2" t="s">
        <v>18</v>
      </c>
      <c r="D2" s="2" t="s">
        <v>10</v>
      </c>
      <c r="E2" s="2" t="s">
        <v>11</v>
      </c>
      <c r="F2" s="12"/>
      <c r="G2" s="1" t="s">
        <v>5</v>
      </c>
      <c r="H2" s="1" t="s">
        <v>6</v>
      </c>
      <c r="I2" s="1" t="s">
        <v>7</v>
      </c>
      <c r="J2" s="9"/>
      <c r="K2" s="1" t="s">
        <v>12</v>
      </c>
      <c r="L2" s="1" t="s">
        <v>17</v>
      </c>
      <c r="M2" s="1" t="s">
        <v>16</v>
      </c>
      <c r="N2" s="1" t="s">
        <v>14</v>
      </c>
      <c r="O2" s="1" t="s">
        <v>22</v>
      </c>
      <c r="P2" s="9"/>
      <c r="Q2" s="1" t="s">
        <v>13</v>
      </c>
    </row>
    <row r="3" spans="2:17" x14ac:dyDescent="0.3">
      <c r="B3" s="13" t="s">
        <v>19</v>
      </c>
      <c r="D3" s="3">
        <v>1</v>
      </c>
      <c r="E3" s="3">
        <v>1</v>
      </c>
      <c r="G3" s="4" t="s">
        <v>8</v>
      </c>
      <c r="H3" s="4" t="s">
        <v>8</v>
      </c>
      <c r="I3" s="4" t="s">
        <v>8</v>
      </c>
      <c r="K3" s="6" t="s">
        <v>0</v>
      </c>
      <c r="L3" s="7">
        <v>565000000</v>
      </c>
      <c r="M3" s="19" t="s">
        <v>21</v>
      </c>
      <c r="N3" s="17"/>
      <c r="O3" s="15"/>
      <c r="P3" s="11"/>
      <c r="Q3" s="5" t="s">
        <v>14</v>
      </c>
    </row>
    <row r="4" spans="2:17" x14ac:dyDescent="0.3">
      <c r="B4" s="13" t="s">
        <v>19</v>
      </c>
      <c r="D4" s="3">
        <v>2</v>
      </c>
      <c r="E4" s="3">
        <v>1</v>
      </c>
      <c r="G4" s="4" t="s">
        <v>8</v>
      </c>
      <c r="H4" s="4" t="s">
        <v>8</v>
      </c>
      <c r="I4" s="4" t="s">
        <v>8</v>
      </c>
      <c r="K4" s="6" t="s">
        <v>1</v>
      </c>
      <c r="L4" s="7">
        <v>1000000000</v>
      </c>
      <c r="M4" s="19"/>
      <c r="N4" s="20"/>
      <c r="O4" s="21"/>
      <c r="P4" s="11"/>
    </row>
    <row r="5" spans="2:17" x14ac:dyDescent="0.3">
      <c r="B5" s="13" t="s">
        <v>19</v>
      </c>
      <c r="D5" s="3">
        <v>3</v>
      </c>
      <c r="E5" s="3">
        <v>1</v>
      </c>
      <c r="G5" s="4" t="s">
        <v>8</v>
      </c>
      <c r="H5" s="4" t="s">
        <v>8</v>
      </c>
      <c r="I5" s="4" t="s">
        <v>8</v>
      </c>
      <c r="K5" s="6" t="s">
        <v>2</v>
      </c>
      <c r="L5" s="7">
        <v>1790000000</v>
      </c>
      <c r="M5" s="19"/>
      <c r="N5" s="20"/>
      <c r="O5" s="21"/>
      <c r="P5" s="11"/>
    </row>
    <row r="6" spans="2:17" x14ac:dyDescent="0.3">
      <c r="B6" s="13" t="s">
        <v>19</v>
      </c>
      <c r="D6" s="3">
        <v>4</v>
      </c>
      <c r="E6" s="3">
        <v>1</v>
      </c>
      <c r="G6" s="4" t="s">
        <v>8</v>
      </c>
      <c r="H6" s="4" t="s">
        <v>8</v>
      </c>
      <c r="I6" s="4" t="s">
        <v>8</v>
      </c>
      <c r="K6" s="6" t="s">
        <v>3</v>
      </c>
      <c r="L6" s="7">
        <v>4020000000</v>
      </c>
      <c r="M6" s="19"/>
      <c r="N6" s="20"/>
      <c r="O6" s="21"/>
      <c r="P6" s="11"/>
    </row>
    <row r="7" spans="2:17" x14ac:dyDescent="0.3">
      <c r="B7" s="13" t="s">
        <v>19</v>
      </c>
      <c r="D7" s="3">
        <v>5</v>
      </c>
      <c r="E7" s="3">
        <v>1</v>
      </c>
      <c r="G7" s="4" t="s">
        <v>8</v>
      </c>
      <c r="H7" s="4" t="s">
        <v>8</v>
      </c>
      <c r="I7" s="4" t="s">
        <v>8</v>
      </c>
      <c r="K7" s="6" t="s">
        <v>4</v>
      </c>
      <c r="L7" s="7">
        <v>7140000000</v>
      </c>
      <c r="M7" s="8"/>
      <c r="N7" s="20"/>
      <c r="O7" s="21"/>
      <c r="P7" s="11"/>
      <c r="Q7" s="8" t="s">
        <v>15</v>
      </c>
    </row>
    <row r="9" spans="2:17" x14ac:dyDescent="0.3">
      <c r="B9" s="2" t="s">
        <v>18</v>
      </c>
      <c r="D9" s="2" t="s">
        <v>10</v>
      </c>
      <c r="E9" s="2" t="s">
        <v>11</v>
      </c>
      <c r="F9" s="12"/>
      <c r="G9" s="1" t="s">
        <v>5</v>
      </c>
      <c r="H9" s="1" t="s">
        <v>6</v>
      </c>
      <c r="I9" s="1" t="s">
        <v>7</v>
      </c>
      <c r="J9" s="9"/>
      <c r="K9" s="1" t="s">
        <v>12</v>
      </c>
      <c r="L9" s="1" t="s">
        <v>17</v>
      </c>
      <c r="M9" s="1" t="s">
        <v>16</v>
      </c>
      <c r="N9" s="1" t="s">
        <v>14</v>
      </c>
      <c r="O9" s="1" t="s">
        <v>22</v>
      </c>
      <c r="P9" s="9"/>
      <c r="Q9" s="1" t="s">
        <v>13</v>
      </c>
    </row>
    <row r="10" spans="2:17" x14ac:dyDescent="0.3">
      <c r="B10" s="13" t="s">
        <v>19</v>
      </c>
      <c r="D10" s="3">
        <v>6</v>
      </c>
      <c r="E10" s="3">
        <v>2</v>
      </c>
      <c r="G10" s="4" t="s">
        <v>8</v>
      </c>
      <c r="H10" s="4" t="s">
        <v>8</v>
      </c>
      <c r="I10" s="5" t="s">
        <v>9</v>
      </c>
      <c r="K10" s="6" t="s">
        <v>0</v>
      </c>
      <c r="L10" s="7">
        <v>565000000</v>
      </c>
      <c r="M10" s="6">
        <v>0.45537</v>
      </c>
      <c r="N10" s="17">
        <f>M10/L10</f>
        <v>8.0596460176991153E-10</v>
      </c>
      <c r="O10" s="15">
        <v>1.0873999999999999</v>
      </c>
      <c r="P10" s="11"/>
      <c r="Q10" s="5" t="s">
        <v>14</v>
      </c>
    </row>
    <row r="11" spans="2:17" x14ac:dyDescent="0.3">
      <c r="B11" s="13" t="s">
        <v>19</v>
      </c>
      <c r="D11" s="3">
        <v>7</v>
      </c>
      <c r="E11" s="3">
        <v>2</v>
      </c>
      <c r="G11" s="4" t="s">
        <v>8</v>
      </c>
      <c r="H11" s="4" t="s">
        <v>8</v>
      </c>
      <c r="I11" s="5" t="s">
        <v>9</v>
      </c>
      <c r="K11" s="6" t="s">
        <v>1</v>
      </c>
      <c r="L11" s="7">
        <v>1000000000</v>
      </c>
      <c r="M11" s="6">
        <v>0.48203000000000001</v>
      </c>
      <c r="N11" s="18">
        <f t="shared" ref="N11:N14" si="0">M11/L11</f>
        <v>4.8203000000000004E-10</v>
      </c>
      <c r="O11" s="16">
        <v>1.9331700000000001</v>
      </c>
      <c r="P11" s="11"/>
    </row>
    <row r="12" spans="2:17" x14ac:dyDescent="0.3">
      <c r="B12" s="13" t="s">
        <v>19</v>
      </c>
      <c r="D12" s="3">
        <v>8</v>
      </c>
      <c r="E12" s="3">
        <v>2</v>
      </c>
      <c r="G12" s="4" t="s">
        <v>8</v>
      </c>
      <c r="H12" s="4" t="s">
        <v>8</v>
      </c>
      <c r="I12" s="5" t="s">
        <v>9</v>
      </c>
      <c r="K12" s="6" t="s">
        <v>2</v>
      </c>
      <c r="L12" s="7">
        <v>1790000000</v>
      </c>
      <c r="M12" s="6">
        <v>0.49002000000000001</v>
      </c>
      <c r="N12" s="18">
        <f t="shared" si="0"/>
        <v>2.737541899441341E-10</v>
      </c>
      <c r="O12" s="16">
        <v>3.4369000000000001</v>
      </c>
      <c r="P12" s="11"/>
    </row>
    <row r="13" spans="2:17" x14ac:dyDescent="0.3">
      <c r="B13" s="13" t="s">
        <v>19</v>
      </c>
      <c r="D13" s="3">
        <v>9</v>
      </c>
      <c r="E13" s="3">
        <v>2</v>
      </c>
      <c r="G13" s="4" t="s">
        <v>8</v>
      </c>
      <c r="H13" s="4" t="s">
        <v>8</v>
      </c>
      <c r="I13" s="5" t="s">
        <v>9</v>
      </c>
      <c r="K13" s="6" t="s">
        <v>3</v>
      </c>
      <c r="L13" s="7">
        <v>4020000000</v>
      </c>
      <c r="M13" s="6">
        <v>0.50265000000000004</v>
      </c>
      <c r="N13" s="18">
        <f t="shared" si="0"/>
        <v>1.2503731343283583E-10</v>
      </c>
      <c r="O13" s="16">
        <v>7.7335500000000001</v>
      </c>
      <c r="P13" s="11"/>
    </row>
    <row r="14" spans="2:17" x14ac:dyDescent="0.3">
      <c r="B14" s="13" t="s">
        <v>19</v>
      </c>
      <c r="D14" s="3">
        <v>10</v>
      </c>
      <c r="E14" s="3">
        <v>2</v>
      </c>
      <c r="G14" s="4" t="s">
        <v>8</v>
      </c>
      <c r="H14" s="4" t="s">
        <v>8</v>
      </c>
      <c r="I14" s="5" t="s">
        <v>9</v>
      </c>
      <c r="K14" s="6" t="s">
        <v>4</v>
      </c>
      <c r="L14" s="7">
        <v>7140000000</v>
      </c>
      <c r="M14" s="8">
        <v>0.51717000000000002</v>
      </c>
      <c r="N14" s="18">
        <f t="shared" si="0"/>
        <v>7.2432773109243695E-11</v>
      </c>
      <c r="O14" s="16">
        <v>13.749140000000001</v>
      </c>
      <c r="P14" s="11"/>
      <c r="Q14" s="8" t="s">
        <v>15</v>
      </c>
    </row>
    <row r="16" spans="2:17" x14ac:dyDescent="0.3">
      <c r="B16" s="2" t="s">
        <v>18</v>
      </c>
      <c r="D16" s="2" t="s">
        <v>10</v>
      </c>
      <c r="E16" s="2" t="s">
        <v>11</v>
      </c>
      <c r="F16" s="12"/>
      <c r="G16" s="1" t="s">
        <v>5</v>
      </c>
      <c r="H16" s="1" t="s">
        <v>6</v>
      </c>
      <c r="I16" s="1" t="s">
        <v>7</v>
      </c>
      <c r="J16" s="9"/>
      <c r="K16" s="1" t="s">
        <v>12</v>
      </c>
      <c r="L16" s="1" t="s">
        <v>17</v>
      </c>
      <c r="M16" s="1" t="s">
        <v>16</v>
      </c>
      <c r="N16" s="1" t="s">
        <v>14</v>
      </c>
      <c r="O16" s="1" t="s">
        <v>22</v>
      </c>
      <c r="P16" s="9"/>
      <c r="Q16" s="1" t="s">
        <v>13</v>
      </c>
    </row>
    <row r="17" spans="2:17" x14ac:dyDescent="0.3">
      <c r="B17" s="13" t="s">
        <v>19</v>
      </c>
      <c r="D17" s="3">
        <v>11</v>
      </c>
      <c r="E17" s="3">
        <v>3</v>
      </c>
      <c r="G17" s="5" t="s">
        <v>9</v>
      </c>
      <c r="H17" s="4" t="s">
        <v>8</v>
      </c>
      <c r="I17" s="4" t="s">
        <v>8</v>
      </c>
      <c r="K17" s="6" t="s">
        <v>0</v>
      </c>
      <c r="L17" s="7">
        <v>565000000</v>
      </c>
      <c r="M17" s="16">
        <v>0.3931</v>
      </c>
      <c r="N17" s="17">
        <f>M17/L17</f>
        <v>6.957522123893805E-10</v>
      </c>
      <c r="O17" s="15">
        <v>1.0873999999999999</v>
      </c>
      <c r="P17" s="11"/>
      <c r="Q17" s="5" t="s">
        <v>14</v>
      </c>
    </row>
    <row r="18" spans="2:17" x14ac:dyDescent="0.3">
      <c r="B18" s="13" t="s">
        <v>19</v>
      </c>
      <c r="D18" s="3">
        <v>12</v>
      </c>
      <c r="E18" s="3">
        <v>3</v>
      </c>
      <c r="G18" s="5" t="s">
        <v>9</v>
      </c>
      <c r="H18" s="4" t="s">
        <v>8</v>
      </c>
      <c r="I18" s="4" t="s">
        <v>8</v>
      </c>
      <c r="K18" s="6" t="s">
        <v>1</v>
      </c>
      <c r="L18" s="7">
        <v>1000000000</v>
      </c>
      <c r="M18" s="16">
        <v>0.43380999999999997</v>
      </c>
      <c r="N18" s="18">
        <f t="shared" ref="N18:N21" si="1">M18/L18</f>
        <v>4.3380999999999997E-10</v>
      </c>
      <c r="O18" s="16">
        <v>1.9331700000000001</v>
      </c>
      <c r="P18" s="11"/>
    </row>
    <row r="19" spans="2:17" x14ac:dyDescent="0.3">
      <c r="B19" s="13" t="s">
        <v>19</v>
      </c>
      <c r="D19" s="3">
        <v>13</v>
      </c>
      <c r="E19" s="3">
        <v>3</v>
      </c>
      <c r="G19" s="5" t="s">
        <v>9</v>
      </c>
      <c r="H19" s="4" t="s">
        <v>8</v>
      </c>
      <c r="I19" s="4" t="s">
        <v>8</v>
      </c>
      <c r="K19" s="6" t="s">
        <v>2</v>
      </c>
      <c r="L19" s="7">
        <v>1790000000</v>
      </c>
      <c r="M19" s="16">
        <v>0.47417999999999999</v>
      </c>
      <c r="N19" s="18">
        <f t="shared" si="1"/>
        <v>2.6490502793296091E-10</v>
      </c>
      <c r="O19" s="16">
        <v>3.4369000000000001</v>
      </c>
      <c r="P19" s="11"/>
    </row>
    <row r="20" spans="2:17" x14ac:dyDescent="0.3">
      <c r="B20" s="13" t="s">
        <v>19</v>
      </c>
      <c r="D20" s="3">
        <v>14</v>
      </c>
      <c r="E20" s="3">
        <v>3</v>
      </c>
      <c r="G20" s="5" t="s">
        <v>9</v>
      </c>
      <c r="H20" s="4" t="s">
        <v>8</v>
      </c>
      <c r="I20" s="4" t="s">
        <v>8</v>
      </c>
      <c r="K20" s="6" t="s">
        <v>3</v>
      </c>
      <c r="L20" s="7">
        <v>4020000000</v>
      </c>
      <c r="M20" s="16">
        <v>0.50244</v>
      </c>
      <c r="N20" s="18">
        <f t="shared" si="1"/>
        <v>1.2498507462686568E-10</v>
      </c>
      <c r="O20" s="16">
        <v>7.7335500000000001</v>
      </c>
      <c r="P20" s="11"/>
    </row>
    <row r="21" spans="2:17" x14ac:dyDescent="0.3">
      <c r="B21" s="13" t="s">
        <v>19</v>
      </c>
      <c r="D21" s="3">
        <v>15</v>
      </c>
      <c r="E21" s="3">
        <v>3</v>
      </c>
      <c r="G21" s="5" t="s">
        <v>9</v>
      </c>
      <c r="H21" s="4" t="s">
        <v>8</v>
      </c>
      <c r="I21" s="4" t="s">
        <v>8</v>
      </c>
      <c r="K21" s="6" t="s">
        <v>4</v>
      </c>
      <c r="L21" s="7">
        <v>7140000000</v>
      </c>
      <c r="M21" s="22">
        <v>0.51056999999999997</v>
      </c>
      <c r="N21" s="18">
        <f t="shared" si="1"/>
        <v>7.1508403361344528E-11</v>
      </c>
      <c r="O21" s="16">
        <v>13.749140000000001</v>
      </c>
      <c r="P21" s="11"/>
      <c r="Q21" s="8" t="s">
        <v>15</v>
      </c>
    </row>
    <row r="23" spans="2:17" x14ac:dyDescent="0.3">
      <c r="B23" s="2" t="s">
        <v>18</v>
      </c>
      <c r="D23" s="2" t="s">
        <v>10</v>
      </c>
      <c r="E23" s="2" t="s">
        <v>11</v>
      </c>
      <c r="F23" s="12"/>
      <c r="G23" s="1" t="s">
        <v>5</v>
      </c>
      <c r="H23" s="1" t="s">
        <v>6</v>
      </c>
      <c r="I23" s="1" t="s">
        <v>7</v>
      </c>
      <c r="J23" s="9"/>
      <c r="K23" s="1" t="s">
        <v>12</v>
      </c>
      <c r="L23" s="1" t="s">
        <v>17</v>
      </c>
      <c r="M23" s="1" t="s">
        <v>16</v>
      </c>
      <c r="N23" s="1" t="s">
        <v>14</v>
      </c>
      <c r="O23" s="1" t="s">
        <v>22</v>
      </c>
      <c r="P23" s="9"/>
      <c r="Q23" s="1" t="s">
        <v>13</v>
      </c>
    </row>
    <row r="24" spans="2:17" x14ac:dyDescent="0.3">
      <c r="B24" s="13" t="s">
        <v>19</v>
      </c>
      <c r="D24" s="3">
        <v>16</v>
      </c>
      <c r="E24" s="3">
        <v>4</v>
      </c>
      <c r="G24" s="5" t="s">
        <v>9</v>
      </c>
      <c r="H24" s="4" t="s">
        <v>8</v>
      </c>
      <c r="I24" s="5" t="s">
        <v>9</v>
      </c>
      <c r="K24" s="6" t="s">
        <v>0</v>
      </c>
      <c r="L24" s="7">
        <v>565000000</v>
      </c>
      <c r="M24" s="19" t="s">
        <v>21</v>
      </c>
      <c r="N24" s="17"/>
      <c r="O24" s="15"/>
      <c r="P24" s="11"/>
      <c r="Q24" s="5" t="s">
        <v>14</v>
      </c>
    </row>
    <row r="25" spans="2:17" x14ac:dyDescent="0.3">
      <c r="B25" s="13" t="s">
        <v>19</v>
      </c>
      <c r="D25" s="3">
        <v>17</v>
      </c>
      <c r="E25" s="3">
        <v>4</v>
      </c>
      <c r="G25" s="5" t="s">
        <v>9</v>
      </c>
      <c r="H25" s="4" t="s">
        <v>8</v>
      </c>
      <c r="I25" s="5" t="s">
        <v>9</v>
      </c>
      <c r="K25" s="6" t="s">
        <v>1</v>
      </c>
      <c r="L25" s="7">
        <v>1000000000</v>
      </c>
      <c r="M25" s="19"/>
      <c r="N25" s="20"/>
      <c r="O25" s="21"/>
      <c r="P25" s="11"/>
    </row>
    <row r="26" spans="2:17" x14ac:dyDescent="0.3">
      <c r="B26" s="13" t="s">
        <v>19</v>
      </c>
      <c r="D26" s="3">
        <v>18</v>
      </c>
      <c r="E26" s="3">
        <v>4</v>
      </c>
      <c r="G26" s="5" t="s">
        <v>9</v>
      </c>
      <c r="H26" s="4" t="s">
        <v>8</v>
      </c>
      <c r="I26" s="5" t="s">
        <v>9</v>
      </c>
      <c r="K26" s="6" t="s">
        <v>2</v>
      </c>
      <c r="L26" s="7">
        <v>1790000000</v>
      </c>
      <c r="M26" s="19"/>
      <c r="N26" s="20"/>
      <c r="O26" s="21"/>
      <c r="P26" s="11"/>
    </row>
    <row r="27" spans="2:17" x14ac:dyDescent="0.3">
      <c r="B27" s="13" t="s">
        <v>19</v>
      </c>
      <c r="D27" s="3">
        <v>19</v>
      </c>
      <c r="E27" s="3">
        <v>4</v>
      </c>
      <c r="G27" s="5" t="s">
        <v>9</v>
      </c>
      <c r="H27" s="4" t="s">
        <v>8</v>
      </c>
      <c r="I27" s="5" t="s">
        <v>9</v>
      </c>
      <c r="K27" s="6" t="s">
        <v>3</v>
      </c>
      <c r="L27" s="7">
        <v>4020000000</v>
      </c>
      <c r="M27" s="19"/>
      <c r="N27" s="20"/>
      <c r="O27" s="21"/>
      <c r="P27" s="11"/>
    </row>
    <row r="28" spans="2:17" x14ac:dyDescent="0.3">
      <c r="B28" s="13" t="s">
        <v>19</v>
      </c>
      <c r="D28" s="3">
        <v>20</v>
      </c>
      <c r="E28" s="3">
        <v>4</v>
      </c>
      <c r="G28" s="5" t="s">
        <v>9</v>
      </c>
      <c r="H28" s="4" t="s">
        <v>8</v>
      </c>
      <c r="I28" s="5" t="s">
        <v>9</v>
      </c>
      <c r="K28" s="6" t="s">
        <v>4</v>
      </c>
      <c r="L28" s="7">
        <v>7140000000</v>
      </c>
      <c r="M28" s="8"/>
      <c r="N28" s="20"/>
      <c r="O28" s="21"/>
      <c r="P28" s="11"/>
      <c r="Q28" s="8" t="s">
        <v>15</v>
      </c>
    </row>
    <row r="30" spans="2:17" x14ac:dyDescent="0.3">
      <c r="B30" s="2" t="s">
        <v>18</v>
      </c>
      <c r="D30" s="2" t="s">
        <v>10</v>
      </c>
      <c r="E30" s="2" t="s">
        <v>11</v>
      </c>
      <c r="F30" s="12"/>
      <c r="G30" s="1" t="s">
        <v>5</v>
      </c>
      <c r="H30" s="1" t="s">
        <v>6</v>
      </c>
      <c r="I30" s="1" t="s">
        <v>7</v>
      </c>
      <c r="J30" s="9"/>
      <c r="K30" s="1" t="s">
        <v>12</v>
      </c>
      <c r="L30" s="1" t="s">
        <v>17</v>
      </c>
      <c r="M30" s="1" t="s">
        <v>16</v>
      </c>
      <c r="N30" s="1" t="s">
        <v>14</v>
      </c>
      <c r="O30" s="1" t="s">
        <v>22</v>
      </c>
      <c r="P30" s="9"/>
      <c r="Q30" s="1" t="s">
        <v>13</v>
      </c>
    </row>
    <row r="31" spans="2:17" x14ac:dyDescent="0.3">
      <c r="B31" s="13" t="s">
        <v>19</v>
      </c>
      <c r="D31" s="3">
        <v>21</v>
      </c>
      <c r="E31" s="3">
        <v>5</v>
      </c>
      <c r="G31" s="4" t="s">
        <v>8</v>
      </c>
      <c r="H31" s="5" t="s">
        <v>9</v>
      </c>
      <c r="I31" s="4" t="s">
        <v>8</v>
      </c>
      <c r="K31" s="6" t="s">
        <v>0</v>
      </c>
      <c r="L31" s="7">
        <v>565000000</v>
      </c>
      <c r="M31" s="16">
        <v>0.47572999999999999</v>
      </c>
      <c r="N31" s="17">
        <f>M31/L31</f>
        <v>8.4199999999999999E-10</v>
      </c>
      <c r="O31" s="15">
        <v>1.0873999999999999</v>
      </c>
      <c r="P31" s="11"/>
      <c r="Q31" s="5" t="s">
        <v>14</v>
      </c>
    </row>
    <row r="32" spans="2:17" x14ac:dyDescent="0.3">
      <c r="B32" s="13" t="s">
        <v>19</v>
      </c>
      <c r="D32" s="3">
        <v>22</v>
      </c>
      <c r="E32" s="3">
        <v>5</v>
      </c>
      <c r="G32" s="4" t="s">
        <v>8</v>
      </c>
      <c r="H32" s="5" t="s">
        <v>9</v>
      </c>
      <c r="I32" s="4" t="s">
        <v>8</v>
      </c>
      <c r="K32" s="6" t="s">
        <v>1</v>
      </c>
      <c r="L32" s="7">
        <v>1000000000</v>
      </c>
      <c r="M32" s="16">
        <v>0.49456</v>
      </c>
      <c r="N32" s="18">
        <f t="shared" ref="N32:N35" si="2">M32/L32</f>
        <v>4.9456E-10</v>
      </c>
      <c r="O32" s="16">
        <v>1.9331700000000001</v>
      </c>
      <c r="P32" s="11"/>
    </row>
    <row r="33" spans="2:17" x14ac:dyDescent="0.3">
      <c r="B33" s="13" t="s">
        <v>19</v>
      </c>
      <c r="D33" s="3">
        <v>23</v>
      </c>
      <c r="E33" s="3">
        <v>5</v>
      </c>
      <c r="G33" s="4" t="s">
        <v>8</v>
      </c>
      <c r="H33" s="5" t="s">
        <v>9</v>
      </c>
      <c r="I33" s="4" t="s">
        <v>8</v>
      </c>
      <c r="K33" s="6" t="s">
        <v>2</v>
      </c>
      <c r="L33" s="7">
        <v>1790000000</v>
      </c>
      <c r="M33" s="16">
        <v>0.50629999999999997</v>
      </c>
      <c r="N33" s="18">
        <f t="shared" si="2"/>
        <v>2.8284916201117317E-10</v>
      </c>
      <c r="O33" s="16">
        <v>3.4369000000000001</v>
      </c>
      <c r="P33" s="11"/>
    </row>
    <row r="34" spans="2:17" x14ac:dyDescent="0.3">
      <c r="B34" s="13" t="s">
        <v>19</v>
      </c>
      <c r="D34" s="3">
        <v>24</v>
      </c>
      <c r="E34" s="3">
        <v>5</v>
      </c>
      <c r="G34" s="4" t="s">
        <v>8</v>
      </c>
      <c r="H34" s="5" t="s">
        <v>9</v>
      </c>
      <c r="I34" s="4" t="s">
        <v>8</v>
      </c>
      <c r="K34" s="6" t="s">
        <v>3</v>
      </c>
      <c r="L34" s="7">
        <v>4020000000</v>
      </c>
      <c r="M34" s="16">
        <v>0.51446999999999998</v>
      </c>
      <c r="N34" s="18">
        <f t="shared" si="2"/>
        <v>1.279776119402985E-10</v>
      </c>
      <c r="O34" s="16">
        <v>7.7335500000000001</v>
      </c>
      <c r="P34" s="11"/>
    </row>
    <row r="35" spans="2:17" x14ac:dyDescent="0.3">
      <c r="B35" s="13" t="s">
        <v>19</v>
      </c>
      <c r="D35" s="3">
        <v>25</v>
      </c>
      <c r="E35" s="3">
        <v>5</v>
      </c>
      <c r="G35" s="4" t="s">
        <v>8</v>
      </c>
      <c r="H35" s="5" t="s">
        <v>9</v>
      </c>
      <c r="I35" s="4" t="s">
        <v>8</v>
      </c>
      <c r="K35" s="6" t="s">
        <v>4</v>
      </c>
      <c r="L35" s="7">
        <v>7140000000</v>
      </c>
      <c r="M35" s="22">
        <v>0.52083000000000002</v>
      </c>
      <c r="N35" s="18">
        <f t="shared" si="2"/>
        <v>7.2945378151260507E-11</v>
      </c>
      <c r="O35" s="16">
        <v>13.749140000000001</v>
      </c>
      <c r="P35" s="11"/>
      <c r="Q35" s="8" t="s">
        <v>15</v>
      </c>
    </row>
    <row r="37" spans="2:17" x14ac:dyDescent="0.3">
      <c r="B37" s="2" t="s">
        <v>18</v>
      </c>
      <c r="D37" s="2" t="s">
        <v>10</v>
      </c>
      <c r="E37" s="2" t="s">
        <v>11</v>
      </c>
      <c r="F37" s="12"/>
      <c r="G37" s="1" t="s">
        <v>5</v>
      </c>
      <c r="H37" s="1" t="s">
        <v>6</v>
      </c>
      <c r="I37" s="1" t="s">
        <v>7</v>
      </c>
      <c r="J37" s="9"/>
      <c r="K37" s="1" t="s">
        <v>12</v>
      </c>
      <c r="L37" s="1" t="s">
        <v>17</v>
      </c>
      <c r="M37" s="1" t="s">
        <v>16</v>
      </c>
      <c r="N37" s="1" t="s">
        <v>14</v>
      </c>
      <c r="O37" s="1" t="s">
        <v>22</v>
      </c>
      <c r="P37" s="9"/>
      <c r="Q37" s="1" t="s">
        <v>13</v>
      </c>
    </row>
    <row r="38" spans="2:17" x14ac:dyDescent="0.3">
      <c r="B38" s="13" t="s">
        <v>19</v>
      </c>
      <c r="D38" s="3">
        <v>26</v>
      </c>
      <c r="E38" s="3">
        <v>6</v>
      </c>
      <c r="G38" s="4" t="s">
        <v>8</v>
      </c>
      <c r="H38" s="5" t="s">
        <v>9</v>
      </c>
      <c r="I38" s="5" t="s">
        <v>9</v>
      </c>
      <c r="K38" s="6" t="s">
        <v>0</v>
      </c>
      <c r="L38" s="7">
        <v>565000000</v>
      </c>
      <c r="M38" s="19" t="s">
        <v>21</v>
      </c>
      <c r="N38" s="17"/>
      <c r="O38" s="15"/>
      <c r="P38" s="11"/>
      <c r="Q38" s="5" t="s">
        <v>14</v>
      </c>
    </row>
    <row r="39" spans="2:17" x14ac:dyDescent="0.3">
      <c r="B39" s="13" t="s">
        <v>19</v>
      </c>
      <c r="D39" s="3">
        <v>27</v>
      </c>
      <c r="E39" s="3">
        <v>6</v>
      </c>
      <c r="G39" s="4" t="s">
        <v>8</v>
      </c>
      <c r="H39" s="5" t="s">
        <v>9</v>
      </c>
      <c r="I39" s="5" t="s">
        <v>9</v>
      </c>
      <c r="K39" s="6" t="s">
        <v>1</v>
      </c>
      <c r="L39" s="7">
        <v>1000000000</v>
      </c>
      <c r="M39" s="19"/>
      <c r="N39" s="20"/>
      <c r="O39" s="21"/>
      <c r="P39" s="11"/>
    </row>
    <row r="40" spans="2:17" x14ac:dyDescent="0.3">
      <c r="B40" s="13" t="s">
        <v>19</v>
      </c>
      <c r="D40" s="3">
        <v>28</v>
      </c>
      <c r="E40" s="3">
        <v>6</v>
      </c>
      <c r="G40" s="4" t="s">
        <v>8</v>
      </c>
      <c r="H40" s="5" t="s">
        <v>9</v>
      </c>
      <c r="I40" s="5" t="s">
        <v>9</v>
      </c>
      <c r="K40" s="6" t="s">
        <v>2</v>
      </c>
      <c r="L40" s="7">
        <v>1790000000</v>
      </c>
      <c r="M40" s="19"/>
      <c r="N40" s="20"/>
      <c r="O40" s="21"/>
      <c r="P40" s="11"/>
    </row>
    <row r="41" spans="2:17" x14ac:dyDescent="0.3">
      <c r="B41" s="13" t="s">
        <v>19</v>
      </c>
      <c r="D41" s="3">
        <v>29</v>
      </c>
      <c r="E41" s="3">
        <v>6</v>
      </c>
      <c r="G41" s="4" t="s">
        <v>8</v>
      </c>
      <c r="H41" s="5" t="s">
        <v>9</v>
      </c>
      <c r="I41" s="5" t="s">
        <v>9</v>
      </c>
      <c r="K41" s="6" t="s">
        <v>3</v>
      </c>
      <c r="L41" s="7">
        <v>4020000000</v>
      </c>
      <c r="M41" s="19"/>
      <c r="N41" s="20"/>
      <c r="O41" s="21"/>
      <c r="P41" s="11"/>
    </row>
    <row r="42" spans="2:17" x14ac:dyDescent="0.3">
      <c r="B42" s="13" t="s">
        <v>19</v>
      </c>
      <c r="D42" s="3">
        <v>30</v>
      </c>
      <c r="E42" s="3">
        <v>6</v>
      </c>
      <c r="G42" s="4" t="s">
        <v>8</v>
      </c>
      <c r="H42" s="5" t="s">
        <v>9</v>
      </c>
      <c r="I42" s="5" t="s">
        <v>9</v>
      </c>
      <c r="K42" s="6" t="s">
        <v>4</v>
      </c>
      <c r="L42" s="7">
        <v>7140000000</v>
      </c>
      <c r="M42" s="8"/>
      <c r="N42" s="20"/>
      <c r="O42" s="21"/>
      <c r="P42" s="11"/>
      <c r="Q42" s="8" t="s">
        <v>15</v>
      </c>
    </row>
    <row r="44" spans="2:17" x14ac:dyDescent="0.3">
      <c r="B44" s="2" t="s">
        <v>18</v>
      </c>
      <c r="D44" s="2" t="s">
        <v>10</v>
      </c>
      <c r="E44" s="2" t="s">
        <v>11</v>
      </c>
      <c r="F44" s="12"/>
      <c r="G44" s="1" t="s">
        <v>5</v>
      </c>
      <c r="H44" s="1" t="s">
        <v>6</v>
      </c>
      <c r="I44" s="1" t="s">
        <v>7</v>
      </c>
      <c r="J44" s="9"/>
      <c r="K44" s="1" t="s">
        <v>12</v>
      </c>
      <c r="L44" s="1" t="s">
        <v>17</v>
      </c>
      <c r="M44" s="1" t="s">
        <v>16</v>
      </c>
      <c r="N44" s="1" t="s">
        <v>14</v>
      </c>
      <c r="O44" s="1" t="s">
        <v>22</v>
      </c>
      <c r="P44" s="9"/>
      <c r="Q44" s="1" t="s">
        <v>13</v>
      </c>
    </row>
    <row r="45" spans="2:17" x14ac:dyDescent="0.3">
      <c r="B45" s="13" t="s">
        <v>19</v>
      </c>
      <c r="D45" s="3">
        <v>31</v>
      </c>
      <c r="E45" s="3">
        <v>7</v>
      </c>
      <c r="G45" s="5" t="s">
        <v>9</v>
      </c>
      <c r="H45" s="5" t="s">
        <v>9</v>
      </c>
      <c r="I45" s="4" t="s">
        <v>8</v>
      </c>
      <c r="K45" s="6" t="s">
        <v>0</v>
      </c>
      <c r="L45" s="7">
        <v>565000000</v>
      </c>
      <c r="M45" s="19" t="s">
        <v>21</v>
      </c>
      <c r="N45" s="17"/>
      <c r="O45" s="15"/>
      <c r="P45" s="11"/>
      <c r="Q45" s="5" t="s">
        <v>14</v>
      </c>
    </row>
    <row r="46" spans="2:17" x14ac:dyDescent="0.3">
      <c r="B46" s="13" t="s">
        <v>19</v>
      </c>
      <c r="D46" s="3">
        <v>32</v>
      </c>
      <c r="E46" s="3">
        <v>7</v>
      </c>
      <c r="G46" s="5" t="s">
        <v>9</v>
      </c>
      <c r="H46" s="5" t="s">
        <v>9</v>
      </c>
      <c r="I46" s="4" t="s">
        <v>8</v>
      </c>
      <c r="K46" s="6" t="s">
        <v>1</v>
      </c>
      <c r="L46" s="7">
        <v>1000000000</v>
      </c>
      <c r="M46" s="19"/>
      <c r="N46" s="20"/>
      <c r="O46" s="21"/>
      <c r="P46" s="11"/>
    </row>
    <row r="47" spans="2:17" x14ac:dyDescent="0.3">
      <c r="B47" s="13" t="s">
        <v>19</v>
      </c>
      <c r="D47" s="3">
        <v>33</v>
      </c>
      <c r="E47" s="3">
        <v>7</v>
      </c>
      <c r="G47" s="5" t="s">
        <v>9</v>
      </c>
      <c r="H47" s="5" t="s">
        <v>9</v>
      </c>
      <c r="I47" s="4" t="s">
        <v>8</v>
      </c>
      <c r="K47" s="6" t="s">
        <v>2</v>
      </c>
      <c r="L47" s="7">
        <v>1790000000</v>
      </c>
      <c r="M47" s="19"/>
      <c r="N47" s="20"/>
      <c r="O47" s="21"/>
      <c r="P47" s="11"/>
    </row>
    <row r="48" spans="2:17" x14ac:dyDescent="0.3">
      <c r="B48" s="13" t="s">
        <v>19</v>
      </c>
      <c r="D48" s="3">
        <v>34</v>
      </c>
      <c r="E48" s="3">
        <v>7</v>
      </c>
      <c r="G48" s="5" t="s">
        <v>9</v>
      </c>
      <c r="H48" s="5" t="s">
        <v>9</v>
      </c>
      <c r="I48" s="4" t="s">
        <v>8</v>
      </c>
      <c r="K48" s="6" t="s">
        <v>3</v>
      </c>
      <c r="L48" s="7">
        <v>4020000000</v>
      </c>
      <c r="M48" s="19"/>
      <c r="N48" s="20"/>
      <c r="O48" s="21"/>
      <c r="P48" s="11"/>
    </row>
    <row r="49" spans="2:17" x14ac:dyDescent="0.3">
      <c r="B49" s="13" t="s">
        <v>19</v>
      </c>
      <c r="D49" s="3">
        <v>35</v>
      </c>
      <c r="E49" s="3">
        <v>7</v>
      </c>
      <c r="G49" s="5" t="s">
        <v>9</v>
      </c>
      <c r="H49" s="5" t="s">
        <v>9</v>
      </c>
      <c r="I49" s="4" t="s">
        <v>8</v>
      </c>
      <c r="K49" s="6" t="s">
        <v>4</v>
      </c>
      <c r="L49" s="7">
        <v>7140000000</v>
      </c>
      <c r="M49" s="8"/>
      <c r="N49" s="20"/>
      <c r="O49" s="21"/>
      <c r="P49" s="11"/>
      <c r="Q49" s="8" t="s">
        <v>15</v>
      </c>
    </row>
    <row r="51" spans="2:17" x14ac:dyDescent="0.3">
      <c r="B51" s="2" t="s">
        <v>18</v>
      </c>
      <c r="D51" s="2" t="s">
        <v>10</v>
      </c>
      <c r="E51" s="2" t="s">
        <v>11</v>
      </c>
      <c r="F51" s="12"/>
      <c r="G51" s="1" t="s">
        <v>5</v>
      </c>
      <c r="H51" s="1" t="s">
        <v>6</v>
      </c>
      <c r="I51" s="1" t="s">
        <v>7</v>
      </c>
      <c r="J51" s="9"/>
      <c r="K51" s="1" t="s">
        <v>12</v>
      </c>
      <c r="L51" s="1" t="s">
        <v>17</v>
      </c>
      <c r="M51" s="1" t="s">
        <v>16</v>
      </c>
      <c r="N51" s="1" t="s">
        <v>14</v>
      </c>
      <c r="O51" s="1" t="s">
        <v>22</v>
      </c>
      <c r="P51" s="9"/>
      <c r="Q51" s="1" t="s">
        <v>13</v>
      </c>
    </row>
    <row r="52" spans="2:17" x14ac:dyDescent="0.3">
      <c r="B52" s="13" t="s">
        <v>19</v>
      </c>
      <c r="D52" s="3">
        <v>36</v>
      </c>
      <c r="E52" s="3">
        <v>8</v>
      </c>
      <c r="G52" s="5" t="s">
        <v>9</v>
      </c>
      <c r="H52" s="5" t="s">
        <v>9</v>
      </c>
      <c r="I52" s="5" t="s">
        <v>9</v>
      </c>
      <c r="K52" s="6" t="s">
        <v>0</v>
      </c>
      <c r="L52" s="7">
        <v>565000000</v>
      </c>
      <c r="M52" s="19" t="s">
        <v>21</v>
      </c>
      <c r="N52" s="17"/>
      <c r="O52" s="15"/>
      <c r="P52" s="11"/>
      <c r="Q52" s="5" t="s">
        <v>14</v>
      </c>
    </row>
    <row r="53" spans="2:17" x14ac:dyDescent="0.3">
      <c r="B53" s="13" t="s">
        <v>19</v>
      </c>
      <c r="D53" s="3">
        <v>37</v>
      </c>
      <c r="E53" s="3">
        <v>8</v>
      </c>
      <c r="G53" s="5" t="s">
        <v>9</v>
      </c>
      <c r="H53" s="5" t="s">
        <v>9</v>
      </c>
      <c r="I53" s="5" t="s">
        <v>9</v>
      </c>
      <c r="K53" s="6" t="s">
        <v>1</v>
      </c>
      <c r="L53" s="7">
        <v>1000000000</v>
      </c>
      <c r="M53" s="19"/>
      <c r="N53" s="20"/>
      <c r="O53" s="21"/>
      <c r="P53" s="11"/>
    </row>
    <row r="54" spans="2:17" x14ac:dyDescent="0.3">
      <c r="B54" s="13" t="s">
        <v>19</v>
      </c>
      <c r="D54" s="3">
        <v>38</v>
      </c>
      <c r="E54" s="3">
        <v>8</v>
      </c>
      <c r="G54" s="5" t="s">
        <v>9</v>
      </c>
      <c r="H54" s="5" t="s">
        <v>9</v>
      </c>
      <c r="I54" s="5" t="s">
        <v>9</v>
      </c>
      <c r="K54" s="6" t="s">
        <v>2</v>
      </c>
      <c r="L54" s="7">
        <v>1790000000</v>
      </c>
      <c r="M54" s="19"/>
      <c r="N54" s="20"/>
      <c r="O54" s="21"/>
      <c r="P54" s="11"/>
    </row>
    <row r="55" spans="2:17" x14ac:dyDescent="0.3">
      <c r="B55" s="13" t="s">
        <v>19</v>
      </c>
      <c r="D55" s="3">
        <v>39</v>
      </c>
      <c r="E55" s="3">
        <v>8</v>
      </c>
      <c r="G55" s="5" t="s">
        <v>9</v>
      </c>
      <c r="H55" s="5" t="s">
        <v>9</v>
      </c>
      <c r="I55" s="5" t="s">
        <v>9</v>
      </c>
      <c r="K55" s="6" t="s">
        <v>3</v>
      </c>
      <c r="L55" s="7">
        <v>4020000000</v>
      </c>
      <c r="M55" s="19"/>
      <c r="N55" s="20"/>
      <c r="O55" s="21"/>
      <c r="P55" s="11"/>
    </row>
    <row r="56" spans="2:17" x14ac:dyDescent="0.3">
      <c r="B56" s="13" t="s">
        <v>19</v>
      </c>
      <c r="D56" s="3">
        <v>40</v>
      </c>
      <c r="E56" s="3">
        <v>8</v>
      </c>
      <c r="G56" s="5" t="s">
        <v>9</v>
      </c>
      <c r="H56" s="5" t="s">
        <v>9</v>
      </c>
      <c r="I56" s="5" t="s">
        <v>9</v>
      </c>
      <c r="K56" s="6" t="s">
        <v>4</v>
      </c>
      <c r="L56" s="7">
        <v>7140000000</v>
      </c>
      <c r="M56" s="8"/>
      <c r="N56" s="20"/>
      <c r="O56" s="21"/>
      <c r="P56" s="11"/>
      <c r="Q56" s="8" t="s">
        <v>15</v>
      </c>
    </row>
    <row r="58" spans="2:17" x14ac:dyDescent="0.3">
      <c r="B58" s="2" t="s">
        <v>18</v>
      </c>
      <c r="D58" s="2" t="s">
        <v>10</v>
      </c>
      <c r="E58" s="2" t="s">
        <v>11</v>
      </c>
      <c r="F58" s="12"/>
      <c r="G58" s="1" t="s">
        <v>5</v>
      </c>
      <c r="H58" s="1" t="s">
        <v>6</v>
      </c>
      <c r="I58" s="1" t="s">
        <v>7</v>
      </c>
      <c r="J58" s="9"/>
      <c r="K58" s="1" t="s">
        <v>12</v>
      </c>
      <c r="L58" s="1" t="s">
        <v>17</v>
      </c>
      <c r="M58" s="1" t="s">
        <v>16</v>
      </c>
      <c r="N58" s="1" t="s">
        <v>14</v>
      </c>
      <c r="O58" s="1" t="s">
        <v>22</v>
      </c>
      <c r="P58" s="9"/>
      <c r="Q58" s="1" t="s">
        <v>13</v>
      </c>
    </row>
    <row r="59" spans="2:17" x14ac:dyDescent="0.3">
      <c r="B59" s="14" t="s">
        <v>20</v>
      </c>
      <c r="D59" s="3">
        <v>41</v>
      </c>
      <c r="E59" s="3">
        <v>9</v>
      </c>
      <c r="G59" s="4" t="s">
        <v>8</v>
      </c>
      <c r="H59" s="4" t="s">
        <v>8</v>
      </c>
      <c r="I59" s="4" t="s">
        <v>8</v>
      </c>
      <c r="K59" s="6" t="s">
        <v>0</v>
      </c>
      <c r="L59" s="7">
        <v>102000000000</v>
      </c>
      <c r="M59" s="6">
        <v>0.50534999999999997</v>
      </c>
      <c r="N59" s="17">
        <f>M59/L59</f>
        <v>4.9544117647058822E-12</v>
      </c>
      <c r="O59" s="15">
        <v>203.03646000000001</v>
      </c>
      <c r="P59" s="11"/>
      <c r="Q59" s="5" t="s">
        <v>14</v>
      </c>
    </row>
    <row r="60" spans="2:17" x14ac:dyDescent="0.3">
      <c r="B60" s="14" t="s">
        <v>20</v>
      </c>
      <c r="D60" s="3">
        <v>42</v>
      </c>
      <c r="E60" s="3">
        <v>9</v>
      </c>
      <c r="G60" s="4" t="s">
        <v>8</v>
      </c>
      <c r="H60" s="4" t="s">
        <v>8</v>
      </c>
      <c r="I60" s="4" t="s">
        <v>8</v>
      </c>
      <c r="K60" s="6" t="s">
        <v>1</v>
      </c>
      <c r="L60" s="7">
        <v>181000000000</v>
      </c>
      <c r="M60" s="6">
        <v>0.51497000000000004</v>
      </c>
      <c r="N60" s="18">
        <f t="shared" ref="N60:N63" si="3">M60/L60</f>
        <v>2.8451381215469615E-12</v>
      </c>
      <c r="O60" s="16">
        <v>360.95371</v>
      </c>
      <c r="P60" s="11"/>
    </row>
    <row r="61" spans="2:17" x14ac:dyDescent="0.3">
      <c r="B61" s="14" t="s">
        <v>20</v>
      </c>
      <c r="D61" s="3">
        <v>43</v>
      </c>
      <c r="E61" s="3">
        <v>9</v>
      </c>
      <c r="G61" s="4" t="s">
        <v>8</v>
      </c>
      <c r="H61" s="4" t="s">
        <v>8</v>
      </c>
      <c r="I61" s="4" t="s">
        <v>8</v>
      </c>
      <c r="K61" s="6" t="s">
        <v>2</v>
      </c>
      <c r="L61" s="7">
        <v>322000000000</v>
      </c>
      <c r="M61" s="8">
        <v>0.51763000000000003</v>
      </c>
      <c r="N61" s="18">
        <f t="shared" si="3"/>
        <v>1.6075465838509317E-12</v>
      </c>
      <c r="O61" s="16">
        <v>641.69547999999998</v>
      </c>
      <c r="P61" s="11"/>
      <c r="Q61" s="8" t="s">
        <v>15</v>
      </c>
    </row>
    <row r="62" spans="2:17" x14ac:dyDescent="0.3">
      <c r="B62" s="14" t="s">
        <v>20</v>
      </c>
      <c r="D62" s="3">
        <v>44</v>
      </c>
      <c r="E62" s="3">
        <v>9</v>
      </c>
      <c r="G62" s="4" t="s">
        <v>8</v>
      </c>
      <c r="H62" s="4" t="s">
        <v>8</v>
      </c>
      <c r="I62" s="4" t="s">
        <v>8</v>
      </c>
      <c r="K62" s="6" t="s">
        <v>3</v>
      </c>
      <c r="L62" s="7">
        <v>725000000000</v>
      </c>
      <c r="M62" s="6">
        <v>0.50853000000000004</v>
      </c>
      <c r="N62" s="18">
        <f t="shared" si="3"/>
        <v>7.0142068965517248E-13</v>
      </c>
      <c r="O62" s="16">
        <v>1443.81483</v>
      </c>
      <c r="P62" s="11"/>
    </row>
    <row r="63" spans="2:17" x14ac:dyDescent="0.3">
      <c r="B63" s="14" t="s">
        <v>20</v>
      </c>
      <c r="D63" s="3">
        <v>45</v>
      </c>
      <c r="E63" s="3">
        <v>9</v>
      </c>
      <c r="G63" s="4" t="s">
        <v>8</v>
      </c>
      <c r="H63" s="4" t="s">
        <v>8</v>
      </c>
      <c r="I63" s="4" t="s">
        <v>8</v>
      </c>
      <c r="K63" s="6" t="s">
        <v>4</v>
      </c>
      <c r="L63" s="7">
        <v>1290000000000</v>
      </c>
      <c r="M63" s="6">
        <v>0.50807999999999998</v>
      </c>
      <c r="N63" s="18">
        <f t="shared" si="3"/>
        <v>3.9386046511627904E-13</v>
      </c>
      <c r="O63" s="16">
        <v>2566.7819300000001</v>
      </c>
      <c r="P63" s="11"/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</dc:creator>
  <cp:lastModifiedBy>Pascal</cp:lastModifiedBy>
  <dcterms:created xsi:type="dcterms:W3CDTF">2015-06-05T18:17:20Z</dcterms:created>
  <dcterms:modified xsi:type="dcterms:W3CDTF">2025-06-30T14:24:08Z</dcterms:modified>
</cp:coreProperties>
</file>